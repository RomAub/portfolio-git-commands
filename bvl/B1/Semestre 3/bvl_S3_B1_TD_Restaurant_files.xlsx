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eul le Squelette\Documents\B1TP2 bvl\"/>
    </mc:Choice>
  </mc:AlternateContent>
  <xr:revisionPtr revIDLastSave="0" documentId="13_ncr:9_{321D0DB5-2080-48B9-ACE3-D303179A7567}" xr6:coauthVersionLast="47" xr6:coauthVersionMax="47" xr10:uidLastSave="{00000000-0000-0000-0000-000000000000}"/>
  <bookViews>
    <workbookView xWindow="-96" yWindow="-96" windowWidth="23232" windowHeight="12432" xr2:uid="{0D5D3AAE-FE9F-49FA-9B51-5528B6AB46FA}"/>
  </bookViews>
  <sheets>
    <sheet name="Données" sheetId="1" r:id="rId1"/>
    <sheet name="Bilan 201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H12" i="2"/>
  <c r="I12" i="2"/>
  <c r="J12" i="2"/>
  <c r="K12" i="2"/>
  <c r="L12" i="2"/>
  <c r="M12" i="2"/>
  <c r="N12" i="2"/>
  <c r="C13" i="2"/>
  <c r="D13" i="2"/>
  <c r="E13" i="2"/>
  <c r="F13" i="2"/>
  <c r="G13" i="2"/>
  <c r="H13" i="2"/>
  <c r="I13" i="2"/>
  <c r="J13" i="2"/>
  <c r="K13" i="2"/>
  <c r="L13" i="2"/>
  <c r="M13" i="2"/>
  <c r="N13" i="2"/>
  <c r="B13" i="2"/>
  <c r="B12" i="2"/>
  <c r="N9" i="2"/>
  <c r="N10" i="2"/>
  <c r="C11" i="2"/>
  <c r="D11" i="2"/>
  <c r="E11" i="2"/>
  <c r="F11" i="2"/>
  <c r="G11" i="2"/>
  <c r="H11" i="2"/>
  <c r="I11" i="2"/>
  <c r="J11" i="2"/>
  <c r="K11" i="2"/>
  <c r="L11" i="2"/>
  <c r="M11" i="2"/>
  <c r="N11" i="2"/>
  <c r="B11" i="2"/>
  <c r="C10" i="2"/>
  <c r="D10" i="2"/>
  <c r="E10" i="2"/>
  <c r="F10" i="2"/>
  <c r="G10" i="2"/>
  <c r="H10" i="2"/>
  <c r="I10" i="2"/>
  <c r="J10" i="2"/>
  <c r="K10" i="2"/>
  <c r="L10" i="2"/>
  <c r="M10" i="2"/>
  <c r="B10" i="2"/>
  <c r="D9" i="2"/>
  <c r="E9" i="2"/>
  <c r="F9" i="2"/>
  <c r="G9" i="2"/>
  <c r="H9" i="2"/>
  <c r="I9" i="2"/>
  <c r="J9" i="2"/>
  <c r="K9" i="2"/>
  <c r="L9" i="2"/>
  <c r="M9" i="2"/>
  <c r="C9" i="2"/>
  <c r="B9" i="2"/>
  <c r="B3" i="2" a="1"/>
  <c r="B3" i="2" s="1"/>
  <c r="B4" i="2" a="1"/>
  <c r="M14" i="2" s="1"/>
  <c r="B5" i="2" a="1"/>
  <c r="B5" i="2" s="1"/>
  <c r="B15" i="2" s="1"/>
  <c r="B6" i="2" a="1"/>
  <c r="B6" i="2" s="1"/>
  <c r="B2" i="2" a="1"/>
  <c r="B2" i="2" s="1"/>
  <c r="N8" i="2"/>
  <c r="N45" i="1"/>
  <c r="N44" i="1"/>
  <c r="N43" i="1"/>
  <c r="N42" i="1"/>
  <c r="N41" i="1"/>
  <c r="C12" i="1"/>
  <c r="C11" i="1"/>
  <c r="C10" i="1"/>
  <c r="B9" i="1"/>
  <c r="B8" i="1"/>
  <c r="B12" i="1" s="1"/>
  <c r="C7" i="1"/>
  <c r="C6" i="1"/>
  <c r="B5" i="1"/>
  <c r="C4" i="1"/>
  <c r="N14" i="2" l="1"/>
  <c r="N15" i="2"/>
  <c r="M15" i="2"/>
  <c r="K14" i="2"/>
  <c r="K15" i="2"/>
  <c r="J14" i="2"/>
  <c r="J16" i="2" s="1"/>
  <c r="J15" i="2"/>
  <c r="I14" i="2"/>
  <c r="I15" i="2"/>
  <c r="H14" i="2"/>
  <c r="H16" i="2" s="1"/>
  <c r="H17" i="2" s="1"/>
  <c r="H18" i="2" s="1"/>
  <c r="H19" i="2" s="1"/>
  <c r="H15" i="2"/>
  <c r="G14" i="2"/>
  <c r="G16" i="2" s="1"/>
  <c r="G15" i="2"/>
  <c r="F14" i="2"/>
  <c r="F15" i="2"/>
  <c r="B4" i="2"/>
  <c r="B14" i="2" s="1"/>
  <c r="B16" i="2" s="1"/>
  <c r="B17" i="2" s="1"/>
  <c r="B18" i="2" s="1"/>
  <c r="B19" i="2" s="1"/>
  <c r="L14" i="2"/>
  <c r="L15" i="2"/>
  <c r="E14" i="2"/>
  <c r="E16" i="2" s="1"/>
  <c r="E17" i="2" s="1"/>
  <c r="E18" i="2" s="1"/>
  <c r="E19" i="2" s="1"/>
  <c r="E15" i="2"/>
  <c r="D14" i="2"/>
  <c r="D15" i="2"/>
  <c r="D16" i="2" s="1"/>
  <c r="D17" i="2" s="1"/>
  <c r="D18" i="2" s="1"/>
  <c r="D19" i="2" s="1"/>
  <c r="C14" i="2"/>
  <c r="C15" i="2"/>
  <c r="E8" i="2"/>
  <c r="F8" i="2"/>
  <c r="L8" i="2"/>
  <c r="M8" i="2"/>
  <c r="B8" i="2"/>
  <c r="G8" i="2"/>
  <c r="H8" i="2"/>
  <c r="I8" i="2"/>
  <c r="J8" i="2"/>
  <c r="C8" i="2"/>
  <c r="D8" i="2"/>
  <c r="K8" i="2"/>
  <c r="M16" i="2"/>
  <c r="C16" i="2"/>
  <c r="K16" i="2"/>
  <c r="F16" i="2"/>
  <c r="F17" i="2" s="1"/>
  <c r="F18" i="2" s="1"/>
  <c r="F19" i="2" s="1"/>
  <c r="B7" i="2"/>
  <c r="G7" i="2"/>
  <c r="L7" i="2"/>
  <c r="J7" i="2"/>
  <c r="H7" i="2"/>
  <c r="E7" i="2"/>
  <c r="M7" i="2"/>
  <c r="K7" i="2"/>
  <c r="I7" i="2"/>
  <c r="F7" i="2"/>
  <c r="D7" i="2"/>
  <c r="C7" i="2"/>
  <c r="N7" i="2"/>
  <c r="I16" i="2" l="1"/>
  <c r="I17" i="2" s="1"/>
  <c r="I18" i="2" s="1"/>
  <c r="I19" i="2" s="1"/>
  <c r="N19" i="2" s="1"/>
  <c r="L16" i="2"/>
  <c r="M17" i="2"/>
  <c r="M18" i="2" s="1"/>
  <c r="M19" i="2" s="1"/>
  <c r="G17" i="2"/>
  <c r="G18" i="2" s="1"/>
  <c r="G19" i="2" s="1"/>
  <c r="L17" i="2"/>
  <c r="L18" i="2" s="1"/>
  <c r="L19" i="2" s="1"/>
  <c r="N16" i="2"/>
  <c r="N17" i="2" s="1"/>
  <c r="N18" i="2" s="1"/>
  <c r="K17" i="2"/>
  <c r="K18" i="2" s="1"/>
  <c r="K19" i="2" s="1"/>
  <c r="C17" i="2"/>
  <c r="C18" i="2" s="1"/>
  <c r="C19" i="2" s="1"/>
  <c r="J17" i="2"/>
  <c r="J18" i="2" s="1"/>
  <c r="J19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<sst xmlns="http://schemas.openxmlformats.org/spreadsheetml/2006/main" count="78" uniqueCount="54">
  <si>
    <t>par mois</t>
  </si>
  <si>
    <t>par an</t>
  </si>
  <si>
    <t>loyer</t>
  </si>
  <si>
    <t>cuisine</t>
  </si>
  <si>
    <t>facture edf eau</t>
  </si>
  <si>
    <t>entretien</t>
  </si>
  <si>
    <t>publicité</t>
  </si>
  <si>
    <t>prime assurence</t>
  </si>
  <si>
    <t>emprunt bancaire</t>
  </si>
  <si>
    <t>personnel</t>
  </si>
  <si>
    <t>TOTAL</t>
  </si>
  <si>
    <t>Tableau des charges fixes</t>
  </si>
  <si>
    <t>Tableau prix de ventes</t>
  </si>
  <si>
    <t>prix/vente</t>
  </si>
  <si>
    <t>Menu 1</t>
  </si>
  <si>
    <t>Menu 2</t>
  </si>
  <si>
    <t>Menu 3</t>
  </si>
  <si>
    <t>Soft</t>
  </si>
  <si>
    <t>Alcool</t>
  </si>
  <si>
    <t>coût/vente</t>
  </si>
  <si>
    <t>Tableau des matières premiéres</t>
  </si>
  <si>
    <t>Taxes menu</t>
  </si>
  <si>
    <t>taxes boisson</t>
  </si>
  <si>
    <t>Tableau répartition des ventes 2016</t>
  </si>
  <si>
    <t>Jan</t>
  </si>
  <si>
    <t>Fév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</si>
  <si>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</si>
  <si>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</si>
  <si>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</si>
  <si>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</si>
  <si>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</si>
  <si>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</si>
  <si>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</si>
  <si>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</si>
  <si>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</si>
  <si>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</si>
  <si>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CA menu 1</t>
  </si>
  <si>
    <t>CA menu 2</t>
  </si>
  <si>
    <t>CA menu 3</t>
  </si>
  <si>
    <t>CA soft</t>
  </si>
  <si>
    <t>CA alcool</t>
  </si>
  <si>
    <t>TOTAL CA</t>
  </si>
  <si>
    <t>Charge fixe</t>
  </si>
  <si>
    <t>matière 1ère menu 1</t>
  </si>
  <si>
    <t>matière 1ère menu 2</t>
  </si>
  <si>
    <t>matière 1ère menu 3</t>
  </si>
  <si>
    <t>matière 1ère soft</t>
  </si>
  <si>
    <t>matière 1ère alcool</t>
  </si>
  <si>
    <t>taxe menu</t>
  </si>
  <si>
    <t>taxe boisson</t>
  </si>
  <si>
    <t>TOTAL charges variables</t>
  </si>
  <si>
    <t>TOTAL des charges</t>
  </si>
  <si>
    <t>Résultat</t>
  </si>
  <si>
    <t>TOTAL coûts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</si>
</sst>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applyFont="1"/>
    <xf numFmtId="168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Chiffre</a:t>
            </a:r>
            <a:r>
              <a:rPr lang="fr-FR" baseline="0"/>
              <a:t> d'affaire mensuel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'Bilan 2016'!$B$1:$M$1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'Bilan 2016'!$B$19:$M$19</c:f>
              <c:numCache>
                <c:formatCode>#\ ##0.00\ "€"</c:formatCode>
                <c:ptCount val="12"/>
                <c:pt idx="0">
                  <c:v>-176.83333333333212</c:v>
                </c:pt>
                <c:pt idx="1">
                  <c:v>637.66666666666788</c:v>
                </c:pt>
                <c:pt idx="2">
                  <c:v>2615.6666666666679</c:v>
                </c:pt>
                <c:pt idx="3">
                  <c:v>768.66666666666788</c:v>
                </c:pt>
                <c:pt idx="4">
                  <c:v>1977.1666666666679</c:v>
                </c:pt>
                <c:pt idx="5">
                  <c:v>2783.1666666666679</c:v>
                </c:pt>
                <c:pt idx="6">
                  <c:v>747.66666666666788</c:v>
                </c:pt>
                <c:pt idx="7">
                  <c:v>1425.6666666666679</c:v>
                </c:pt>
                <c:pt idx="8">
                  <c:v>-400.33333333333303</c:v>
                </c:pt>
                <c:pt idx="9">
                  <c:v>206.66666666666788</c:v>
                </c:pt>
                <c:pt idx="10">
                  <c:v>2563.1666666666679</c:v>
                </c:pt>
                <c:pt idx="11">
                  <c:v>315.66666666666788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7-4000-9B09-A0D14DAD2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567519"/>
        <c:axId val="384574831"/>
      </c:lineChart>
      <c:catAx>
        <c:axId val="61156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4574831"/>
        <c:crosses val="autoZero"/>
        <c:auto val="1"/>
        <c:lblAlgn val="ctr"/>
        <c:lblOffset val="100"/>
        <c:noMultiLvlLbl val="0"/>
      </c:catAx>
      <c:valAx>
        <c:axId val="3845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156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838280</xdr:colOff>
      <xdr:row>20</xdr:row>
      <xdr:rowOff>87022</xdr:rowOff>
    </xdr:from>
    <xdr:to>
      <xdr:col>6</xdr:col>
      <xdr:colOff>891</xdr:colOff>
      <xdr:row>35</xdr:row>
      <xdr:rowOff>87022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EBCFB0C-3B71-CFF9-E205-9BFFB08D0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888A-655F-4F4B-898A-F353AB815B57}">
  <dimension ref="A1:N45"/>
  <sheetViews>
    <sheetView tabSelected="1" topLeftCell="A25" workbookViewId="0">
      <selection activeCell="C38" sqref="C38"/>
    </sheetView>
  </sheetViews>
  <sheetFormatPr baseColWidth="10" defaultRowHeight="14.4" x14ac:dyDescent="0.55000000000000004"/>
  <cols>
    <col min="1" max="1" width="29.62890625" customWidth="1"/>
  </cols>
  <sheetData>
    <row r="1" spans="1:3" x14ac:dyDescent="0.55000000000000004">
      <c r="A1" t="s">
        <v>11</v>
      </c>
    </row>
    <row r="3" spans="1:3" x14ac:dyDescent="0.55000000000000004">
      <c r="B3" s="4" t="s">
        <v>0</v>
      </c>
      <c r="C3" s="4" t="s">
        <v>1</v>
      </c>
    </row>
    <row r="4" spans="1:3" x14ac:dyDescent="0.55000000000000004">
      <c r="A4" s="4" t="s">
        <v>2</v>
      </c>
      <c r="B4">
        <v>1000</v>
      </c>
      <c r="C4">
        <f>B4*12</f>
        <v>12000</v>
      </c>
    </row>
    <row r="5" spans="1:3" x14ac:dyDescent="0.55000000000000004">
      <c r="A5" s="4" t="s">
        <v>3</v>
      </c>
      <c r="B5">
        <f>C5/12</f>
        <v>250</v>
      </c>
      <c r="C5">
        <v>3000</v>
      </c>
    </row>
    <row r="6" spans="1:3" x14ac:dyDescent="0.55000000000000004">
      <c r="A6" s="4" t="s">
        <v>4</v>
      </c>
      <c r="B6">
        <v>200</v>
      </c>
      <c r="C6">
        <f>B6*12</f>
        <v>2400</v>
      </c>
    </row>
    <row r="7" spans="1:3" x14ac:dyDescent="0.55000000000000004">
      <c r="A7" s="4" t="s">
        <v>5</v>
      </c>
      <c r="B7">
        <v>100</v>
      </c>
      <c r="C7">
        <f>B7*12</f>
        <v>1200</v>
      </c>
    </row>
    <row r="8" spans="1:3" x14ac:dyDescent="0.55000000000000004">
      <c r="A8" s="4" t="s">
        <v>6</v>
      </c>
      <c r="B8">
        <f>C8/12</f>
        <v>33.333333333333336</v>
      </c>
      <c r="C8">
        <v>400</v>
      </c>
    </row>
    <row r="9" spans="1:3" x14ac:dyDescent="0.55000000000000004">
      <c r="A9" s="4" t="s">
        <v>7</v>
      </c>
      <c r="B9">
        <f>C9/12</f>
        <v>100</v>
      </c>
      <c r="C9">
        <v>1200</v>
      </c>
    </row>
    <row r="10" spans="1:3" x14ac:dyDescent="0.55000000000000004">
      <c r="A10" s="4" t="s">
        <v>8</v>
      </c>
      <c r="B10">
        <v>250</v>
      </c>
      <c r="C10">
        <f>B10*12</f>
        <v>3000</v>
      </c>
    </row>
    <row r="11" spans="1:3" x14ac:dyDescent="0.55000000000000004">
      <c r="A11" s="4" t="s">
        <v>9</v>
      </c>
      <c r="B11">
        <v>1365</v>
      </c>
      <c r="C11">
        <f>B11*12</f>
        <v>16380</v>
      </c>
    </row>
    <row r="12" spans="1:3" x14ac:dyDescent="0.55000000000000004">
      <c r="A12" s="4" t="s">
        <v>10</v>
      </c>
      <c r="B12">
        <f>SUM(B4:B11)</f>
        <v>3298.333333333333</v>
      </c>
      <c r="C12">
        <f>SUM(C4:C11)</f>
        <v>39580</v>
      </c>
    </row>
    <row r="15" spans="1:3" x14ac:dyDescent="0.55000000000000004">
      <c r="A15" t="s">
        <v>12</v>
      </c>
    </row>
    <row r="17" spans="1:2" x14ac:dyDescent="0.55000000000000004">
      <c r="B17" s="4" t="s">
        <v>13</v>
      </c>
    </row>
    <row r="18" spans="1:2" x14ac:dyDescent="0.55000000000000004">
      <c r="A18" s="4" t="s">
        <v>14</v>
      </c>
      <c r="B18">
        <v>15</v>
      </c>
    </row>
    <row r="19" spans="1:2" x14ac:dyDescent="0.55000000000000004">
      <c r="A19" s="4" t="s">
        <v>15</v>
      </c>
      <c r="B19">
        <v>25</v>
      </c>
    </row>
    <row r="20" spans="1:2" x14ac:dyDescent="0.55000000000000004">
      <c r="A20" s="4" t="s">
        <v>16</v>
      </c>
      <c r="B20">
        <v>35</v>
      </c>
    </row>
    <row r="21" spans="1:2" x14ac:dyDescent="0.55000000000000004">
      <c r="A21" s="4" t="s">
        <v>17</v>
      </c>
      <c r="B21">
        <v>3</v>
      </c>
    </row>
    <row r="22" spans="1:2" x14ac:dyDescent="0.55000000000000004">
      <c r="A22" s="4" t="s">
        <v>18</v>
      </c>
      <c r="B22">
        <v>6</v>
      </c>
    </row>
    <row r="24" spans="1:2" x14ac:dyDescent="0.55000000000000004">
      <c r="A24" s="2" t="s">
        <v>20</v>
      </c>
    </row>
    <row r="27" spans="1:2" x14ac:dyDescent="0.55000000000000004">
      <c r="B27" s="4" t="s">
        <v>19</v>
      </c>
    </row>
    <row r="28" spans="1:2" x14ac:dyDescent="0.55000000000000004">
      <c r="A28" s="4" t="s">
        <v>14</v>
      </c>
      <c r="B28">
        <v>10</v>
      </c>
    </row>
    <row r="29" spans="1:2" x14ac:dyDescent="0.55000000000000004">
      <c r="A29" s="4" t="s">
        <v>15</v>
      </c>
      <c r="B29">
        <v>15</v>
      </c>
    </row>
    <row r="30" spans="1:2" x14ac:dyDescent="0.55000000000000004">
      <c r="A30" s="4" t="s">
        <v>16</v>
      </c>
      <c r="B30">
        <v>20</v>
      </c>
    </row>
    <row r="31" spans="1:2" x14ac:dyDescent="0.55000000000000004">
      <c r="A31" s="4" t="s">
        <v>17</v>
      </c>
      <c r="B31">
        <v>1</v>
      </c>
    </row>
    <row r="32" spans="1:2" x14ac:dyDescent="0.55000000000000004">
      <c r="A32" s="4" t="s">
        <v>18</v>
      </c>
      <c r="B32">
        <v>2</v>
      </c>
    </row>
    <row r="34" spans="1:14" x14ac:dyDescent="0.55000000000000004">
      <c r="A34" s="4" t="s">
        <v>21</v>
      </c>
      <c r="B34" s="1">
        <v>0.05</v>
      </c>
    </row>
    <row r="35" spans="1:14" x14ac:dyDescent="0.55000000000000004">
      <c r="A35" s="4" t="s">
        <v>22</v>
      </c>
      <c r="B35" s="1">
        <v>0.05</v>
      </c>
    </row>
    <row r="38" spans="1:14" x14ac:dyDescent="0.55000000000000004">
      <c r="A38" t="s">
        <v>23</v>
      </c>
    </row>
    <row r="40" spans="1:14" x14ac:dyDescent="0.55000000000000004">
      <c r="B40" s="4" t="s">
        <v>24</v>
      </c>
      <c r="C40" s="4" t="s">
        <v>25</v>
      </c>
      <c r="D40" s="4" t="s">
        <v>26</v>
      </c>
      <c r="E40" s="4" t="s">
        <v>27</v>
      </c>
      <c r="F40" s="4" t="s">
        <v>28</v>
      </c>
      <c r="G40" s="4" t="s">
        <v>29</v>
      </c>
      <c r="H40" s="4" t="s">
        <v>30</v>
      </c>
      <c r="I40" s="4" t="s">
        <v>31</v>
      </c>
      <c r="J40" s="4" t="s">
        <v>32</v>
      </c>
      <c r="K40" s="4" t="s">
        <v>33</v>
      </c>
      <c r="L40" s="4" t="s">
        <v>34</v>
      </c>
      <c r="M40" s="4" t="s">
        <v>35</v>
      </c>
      <c r="N40" s="4" t="s">
        <v>10</v>
      </c>
    </row>
    <row r="41" spans="1:14" x14ac:dyDescent="0.55000000000000004">
      <c r="A41" s="4" t="s">
        <v>14</v>
      </c>
      <c r="B41">
        <v>130</v>
      </c>
      <c r="C41">
        <v>70</v>
      </c>
      <c r="D41">
        <v>250</v>
      </c>
      <c r="E41">
        <v>220</v>
      </c>
      <c r="F41">
        <v>70</v>
      </c>
      <c r="G41">
        <v>150</v>
      </c>
      <c r="H41">
        <v>100</v>
      </c>
      <c r="I41">
        <v>240</v>
      </c>
      <c r="J41">
        <v>60</v>
      </c>
      <c r="K41">
        <v>70</v>
      </c>
      <c r="L41">
        <v>100</v>
      </c>
      <c r="M41">
        <v>130</v>
      </c>
      <c r="N41">
        <f>SUM(B41:M41)</f>
        <v>1590</v>
      </c>
    </row>
    <row r="42" spans="1:14" x14ac:dyDescent="0.55000000000000004">
      <c r="A42" s="4" t="s">
        <v>15</v>
      </c>
      <c r="B42">
        <v>90</v>
      </c>
      <c r="C42">
        <v>90</v>
      </c>
      <c r="D42">
        <v>210</v>
      </c>
      <c r="E42">
        <v>80</v>
      </c>
      <c r="F42">
        <v>160</v>
      </c>
      <c r="G42">
        <v>140</v>
      </c>
      <c r="H42">
        <v>200</v>
      </c>
      <c r="I42">
        <v>150</v>
      </c>
      <c r="J42">
        <v>90</v>
      </c>
      <c r="K42">
        <v>170</v>
      </c>
      <c r="L42">
        <v>230</v>
      </c>
      <c r="M42">
        <v>60</v>
      </c>
      <c r="N42">
        <f>SUM(B42:M42)</f>
        <v>1670</v>
      </c>
    </row>
    <row r="43" spans="1:14" x14ac:dyDescent="0.55000000000000004">
      <c r="A43" s="4" t="s">
        <v>16</v>
      </c>
      <c r="B43">
        <v>80</v>
      </c>
      <c r="C43">
        <v>130</v>
      </c>
      <c r="D43">
        <v>180</v>
      </c>
      <c r="E43">
        <v>90</v>
      </c>
      <c r="F43">
        <v>210</v>
      </c>
      <c r="G43">
        <v>250</v>
      </c>
      <c r="H43">
        <v>70</v>
      </c>
      <c r="I43">
        <v>140</v>
      </c>
      <c r="J43">
        <v>80</v>
      </c>
      <c r="K43">
        <v>60</v>
      </c>
      <c r="L43">
        <v>190</v>
      </c>
      <c r="M43">
        <v>130</v>
      </c>
      <c r="N43">
        <f>SUM(B43:M43)</f>
        <v>1610</v>
      </c>
    </row>
    <row r="44" spans="1:14" x14ac:dyDescent="0.55000000000000004">
      <c r="A44" s="4" t="s">
        <v>17</v>
      </c>
      <c r="B44">
        <v>130</v>
      </c>
      <c r="C44">
        <v>250</v>
      </c>
      <c r="D44">
        <v>60</v>
      </c>
      <c r="E44">
        <v>190</v>
      </c>
      <c r="F44">
        <v>250</v>
      </c>
      <c r="G44">
        <v>130</v>
      </c>
      <c r="H44">
        <v>170</v>
      </c>
      <c r="I44">
        <v>110</v>
      </c>
      <c r="J44">
        <v>150</v>
      </c>
      <c r="K44">
        <v>60</v>
      </c>
      <c r="L44">
        <v>210</v>
      </c>
      <c r="M44">
        <v>60</v>
      </c>
      <c r="N44">
        <f>SUM(B44:M44)</f>
        <v>1770</v>
      </c>
    </row>
    <row r="45" spans="1:14" x14ac:dyDescent="0.55000000000000004">
      <c r="A45" s="4" t="s">
        <v>18</v>
      </c>
      <c r="B45">
        <v>130</v>
      </c>
      <c r="C45">
        <v>180</v>
      </c>
      <c r="D45">
        <v>140</v>
      </c>
      <c r="E45">
        <v>240</v>
      </c>
      <c r="F45">
        <v>90</v>
      </c>
      <c r="G45">
        <v>180</v>
      </c>
      <c r="H45">
        <v>170</v>
      </c>
      <c r="I45">
        <v>90</v>
      </c>
      <c r="J45">
        <v>140</v>
      </c>
      <c r="K45">
        <v>220</v>
      </c>
      <c r="L45">
        <v>140</v>
      </c>
      <c r="M45">
        <v>190</v>
      </c>
      <c r="N45">
        <f>SUM(B45:M45)</f>
        <v>1910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99D8-60BA-4C2D-A906-B564B88747B4}">
  <dimension ref="A1:N19"/>
  <sheetViews>
    <sheetView topLeftCell="A16" zoomScale="94" zoomScaleNormal="94" workbookViewId="0">
      <selection activeCell="B1" sqref="B1:N1"/>
    </sheetView>
  </sheetViews>
  <sheetFormatPr baseColWidth="10" defaultRowHeight="14.4" x14ac:dyDescent="0.55000000000000004"/>
  <cols>
    <col min="1" max="1" width="20" customWidth="1"/>
  </cols>
  <sheetData>
    <row r="1" spans="1:14" x14ac:dyDescent="0.55000000000000004"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10</v>
      </c>
    </row>
    <row r="2" spans="1:14" x14ac:dyDescent="0.55000000000000004">
      <c r="A2" s="4" t="s">
        <v>36</v>
      </c>
      <c r="B2" s="3" cm="1">
        <f t="array" ref="B2:N2">Données!B41:N41*Données!B18</f>
        <v>1950</v>
      </c>
      <c r="C2" s="3">
        <v>1050</v>
      </c>
      <c r="D2" s="3">
        <v>3750</v>
      </c>
      <c r="E2" s="3">
        <v>3300</v>
      </c>
      <c r="F2" s="3">
        <v>1050</v>
      </c>
      <c r="G2" s="3">
        <v>2250</v>
      </c>
      <c r="H2" s="3">
        <v>1500</v>
      </c>
      <c r="I2" s="3">
        <v>3600</v>
      </c>
      <c r="J2" s="3">
        <v>900</v>
      </c>
      <c r="K2" s="3">
        <v>1050</v>
      </c>
      <c r="L2" s="3">
        <v>1500</v>
      </c>
      <c r="M2" s="3">
        <v>1950</v>
      </c>
      <c r="N2" s="3">
        <v>23850</v>
      </c>
    </row>
    <row r="3" spans="1:14" x14ac:dyDescent="0.55000000000000004">
      <c r="A3" s="4" t="s">
        <v>37</v>
      </c>
      <c r="B3" s="3" cm="1">
        <f t="array" ref="B3:N3">Données!B42:N42*Données!B19</f>
        <v>2250</v>
      </c>
      <c r="C3" s="3">
        <v>2250</v>
      </c>
      <c r="D3" s="3">
        <v>5250</v>
      </c>
      <c r="E3" s="3">
        <v>2000</v>
      </c>
      <c r="F3" s="3">
        <v>4000</v>
      </c>
      <c r="G3" s="3">
        <v>3500</v>
      </c>
      <c r="H3" s="3">
        <v>5000</v>
      </c>
      <c r="I3" s="3">
        <v>3750</v>
      </c>
      <c r="J3" s="3">
        <v>2250</v>
      </c>
      <c r="K3" s="3">
        <v>4250</v>
      </c>
      <c r="L3" s="3">
        <v>5750</v>
      </c>
      <c r="M3" s="3">
        <v>1500</v>
      </c>
      <c r="N3" s="3">
        <v>41750</v>
      </c>
    </row>
    <row r="4" spans="1:14" x14ac:dyDescent="0.55000000000000004">
      <c r="A4" s="4" t="s">
        <v>38</v>
      </c>
      <c r="B4" s="3" cm="1">
        <f t="array" ref="B4:N4">Données!B43:N43*Données!B20</f>
        <v>2800</v>
      </c>
      <c r="C4" s="3">
        <v>4550</v>
      </c>
      <c r="D4" s="3">
        <v>6300</v>
      </c>
      <c r="E4" s="3">
        <v>3150</v>
      </c>
      <c r="F4" s="3">
        <v>7350</v>
      </c>
      <c r="G4" s="3">
        <v>8750</v>
      </c>
      <c r="H4" s="3">
        <v>2450</v>
      </c>
      <c r="I4" s="3">
        <v>4900</v>
      </c>
      <c r="J4" s="3">
        <v>2800</v>
      </c>
      <c r="K4" s="3">
        <v>2100</v>
      </c>
      <c r="L4" s="3">
        <v>6650</v>
      </c>
      <c r="M4" s="3">
        <v>4550</v>
      </c>
      <c r="N4" s="3">
        <v>56350</v>
      </c>
    </row>
    <row r="5" spans="1:14" x14ac:dyDescent="0.55000000000000004">
      <c r="A5" s="4" t="s">
        <v>39</v>
      </c>
      <c r="B5" s="3" cm="1">
        <f t="array" ref="B5:N5">Données!B44:N44*Données!B21</f>
        <v>390</v>
      </c>
      <c r="C5" s="3">
        <v>750</v>
      </c>
      <c r="D5" s="3">
        <v>180</v>
      </c>
      <c r="E5" s="3">
        <v>570</v>
      </c>
      <c r="F5" s="3">
        <v>750</v>
      </c>
      <c r="G5" s="3">
        <v>390</v>
      </c>
      <c r="H5" s="3">
        <v>510</v>
      </c>
      <c r="I5" s="3">
        <v>330</v>
      </c>
      <c r="J5" s="3">
        <v>450</v>
      </c>
      <c r="K5" s="3">
        <v>180</v>
      </c>
      <c r="L5" s="3">
        <v>630</v>
      </c>
      <c r="M5" s="3">
        <v>180</v>
      </c>
      <c r="N5" s="3">
        <v>5310</v>
      </c>
    </row>
    <row r="6" spans="1:14" x14ac:dyDescent="0.55000000000000004">
      <c r="A6" s="4" t="s">
        <v>40</v>
      </c>
      <c r="B6" s="3" cm="1">
        <f t="array" ref="B6:N6">Données!B45:N45*Données!B22</f>
        <v>780</v>
      </c>
      <c r="C6" s="3">
        <v>1080</v>
      </c>
      <c r="D6" s="3">
        <v>840</v>
      </c>
      <c r="E6" s="3">
        <v>1440</v>
      </c>
      <c r="F6" s="3">
        <v>540</v>
      </c>
      <c r="G6" s="3">
        <v>1080</v>
      </c>
      <c r="H6" s="3">
        <v>1020</v>
      </c>
      <c r="I6" s="3">
        <v>540</v>
      </c>
      <c r="J6" s="3">
        <v>840</v>
      </c>
      <c r="K6" s="3">
        <v>1320</v>
      </c>
      <c r="L6" s="3">
        <v>840</v>
      </c>
      <c r="M6" s="3">
        <v>1140</v>
      </c>
      <c r="N6" s="3">
        <v>11460</v>
      </c>
    </row>
    <row r="7" spans="1:14" x14ac:dyDescent="0.55000000000000004">
      <c r="A7" s="4" t="s">
        <v>41</v>
      </c>
      <c r="B7" s="3">
        <f>SUM(B2:B6)</f>
        <v>8170</v>
      </c>
      <c r="C7" s="3">
        <f t="shared" ref="C7:N7" si="0">SUM(C2:C6)</f>
        <v>9680</v>
      </c>
      <c r="D7" s="3">
        <f t="shared" si="0"/>
        <v>16320</v>
      </c>
      <c r="E7" s="3">
        <f t="shared" si="0"/>
        <v>10460</v>
      </c>
      <c r="F7" s="3">
        <f t="shared" si="0"/>
        <v>13690</v>
      </c>
      <c r="G7" s="3">
        <f t="shared" si="0"/>
        <v>15970</v>
      </c>
      <c r="H7" s="3">
        <f t="shared" si="0"/>
        <v>10480</v>
      </c>
      <c r="I7" s="3">
        <f t="shared" si="0"/>
        <v>13120</v>
      </c>
      <c r="J7" s="3">
        <f t="shared" si="0"/>
        <v>7240</v>
      </c>
      <c r="K7" s="3">
        <f t="shared" si="0"/>
        <v>8900</v>
      </c>
      <c r="L7" s="3">
        <f t="shared" si="0"/>
        <v>15370</v>
      </c>
      <c r="M7" s="3">
        <f t="shared" si="0"/>
        <v>9320</v>
      </c>
      <c r="N7" s="3">
        <f t="shared" si="0"/>
        <v>138720</v>
      </c>
    </row>
    <row r="8" spans="1:14" x14ac:dyDescent="0.55000000000000004">
      <c r="A8" s="4" t="s">
        <v>42</v>
      </c>
      <c r="B8" s="3">
        <f>Données!$B$12</f>
        <v>3298.333333333333</v>
      </c>
      <c r="C8" s="3">
        <f>Données!$B$12</f>
        <v>3298.333333333333</v>
      </c>
      <c r="D8" s="3">
        <f>Données!$B$12</f>
        <v>3298.333333333333</v>
      </c>
      <c r="E8" s="3">
        <f>Données!$B$12</f>
        <v>3298.333333333333</v>
      </c>
      <c r="F8" s="3">
        <f>Données!$B$12</f>
        <v>3298.333333333333</v>
      </c>
      <c r="G8" s="3">
        <f>Données!$B$12</f>
        <v>3298.333333333333</v>
      </c>
      <c r="H8" s="3">
        <f>Données!$B$12</f>
        <v>3298.333333333333</v>
      </c>
      <c r="I8" s="3">
        <f>Données!$B$12</f>
        <v>3298.333333333333</v>
      </c>
      <c r="J8" s="3">
        <f>Données!$B$12</f>
        <v>3298.333333333333</v>
      </c>
      <c r="K8" s="3">
        <f>Données!$B$12</f>
        <v>3298.333333333333</v>
      </c>
      <c r="L8" s="3">
        <f>Données!$B$12</f>
        <v>3298.333333333333</v>
      </c>
      <c r="M8" s="3">
        <f>Données!$B$12</f>
        <v>3298.333333333333</v>
      </c>
      <c r="N8" s="3">
        <f>Données!C12</f>
        <v>39580</v>
      </c>
    </row>
    <row r="9" spans="1:14" x14ac:dyDescent="0.55000000000000004">
      <c r="A9" s="4" t="s">
        <v>43</v>
      </c>
      <c r="B9" s="3">
        <f>Données!$B$28*Données!B41</f>
        <v>1300</v>
      </c>
      <c r="C9" s="3">
        <f>Données!$B$28*Données!C41</f>
        <v>700</v>
      </c>
      <c r="D9" s="3">
        <f>Données!$B$28*Données!D41</f>
        <v>2500</v>
      </c>
      <c r="E9" s="3">
        <f>Données!$B$28*Données!E41</f>
        <v>2200</v>
      </c>
      <c r="F9" s="3">
        <f>Données!$B$28*Données!F41</f>
        <v>700</v>
      </c>
      <c r="G9" s="3">
        <f>Données!$B$28*Données!G41</f>
        <v>1500</v>
      </c>
      <c r="H9" s="3">
        <f>Données!$B$28*Données!H41</f>
        <v>1000</v>
      </c>
      <c r="I9" s="3">
        <f>Données!$B$28*Données!I41</f>
        <v>2400</v>
      </c>
      <c r="J9" s="3">
        <f>Données!$B$28*Données!J41</f>
        <v>600</v>
      </c>
      <c r="K9" s="3">
        <f>Données!$B$28*Données!K41</f>
        <v>700</v>
      </c>
      <c r="L9" s="3">
        <f>Données!$B$28*Données!L41</f>
        <v>1000</v>
      </c>
      <c r="M9" s="3">
        <f>Données!$B$28*Données!M41</f>
        <v>1300</v>
      </c>
      <c r="N9" s="3">
        <f>Données!$B$28*Données!N41</f>
        <v>15900</v>
      </c>
    </row>
    <row r="10" spans="1:14" x14ac:dyDescent="0.55000000000000004">
      <c r="A10" s="4" t="s">
        <v>44</v>
      </c>
      <c r="B10" s="3">
        <f>Données!$B$29*Données!B42</f>
        <v>1350</v>
      </c>
      <c r="C10" s="3">
        <f>Données!$B$29*Données!C42</f>
        <v>1350</v>
      </c>
      <c r="D10" s="3">
        <f>Données!$B$29*Données!D42</f>
        <v>3150</v>
      </c>
      <c r="E10" s="3">
        <f>Données!$B$29*Données!E42</f>
        <v>1200</v>
      </c>
      <c r="F10" s="3">
        <f>Données!$B$29*Données!F42</f>
        <v>2400</v>
      </c>
      <c r="G10" s="3">
        <f>Données!$B$29*Données!G42</f>
        <v>2100</v>
      </c>
      <c r="H10" s="3">
        <f>Données!$B$29*Données!H42</f>
        <v>3000</v>
      </c>
      <c r="I10" s="3">
        <f>Données!$B$29*Données!I42</f>
        <v>2250</v>
      </c>
      <c r="J10" s="3">
        <f>Données!$B$29*Données!J42</f>
        <v>1350</v>
      </c>
      <c r="K10" s="3">
        <f>Données!$B$29*Données!K42</f>
        <v>2550</v>
      </c>
      <c r="L10" s="3">
        <f>Données!$B$29*Données!L42</f>
        <v>3450</v>
      </c>
      <c r="M10" s="3">
        <f>Données!$B$29*Données!M42</f>
        <v>900</v>
      </c>
      <c r="N10" s="3">
        <f>Données!$B$29*Données!N42</f>
        <v>25050</v>
      </c>
    </row>
    <row r="11" spans="1:14" x14ac:dyDescent="0.55000000000000004">
      <c r="A11" s="4" t="s">
        <v>45</v>
      </c>
      <c r="B11" s="3">
        <f>Données!$B$30*Données!B43</f>
        <v>1600</v>
      </c>
      <c r="C11" s="3">
        <f>Données!$B$30*Données!C43</f>
        <v>2600</v>
      </c>
      <c r="D11" s="3">
        <f>Données!$B$30*Données!D43</f>
        <v>3600</v>
      </c>
      <c r="E11" s="3">
        <f>Données!$B$30*Données!E43</f>
        <v>1800</v>
      </c>
      <c r="F11" s="3">
        <f>Données!$B$30*Données!F43</f>
        <v>4200</v>
      </c>
      <c r="G11" s="3">
        <f>Données!$B$30*Données!G43</f>
        <v>5000</v>
      </c>
      <c r="H11" s="3">
        <f>Données!$B$30*Données!H43</f>
        <v>1400</v>
      </c>
      <c r="I11" s="3">
        <f>Données!$B$30*Données!I43</f>
        <v>2800</v>
      </c>
      <c r="J11" s="3">
        <f>Données!$B$30*Données!J43</f>
        <v>1600</v>
      </c>
      <c r="K11" s="3">
        <f>Données!$B$30*Données!K43</f>
        <v>1200</v>
      </c>
      <c r="L11" s="3">
        <f>Données!$B$30*Données!L43</f>
        <v>3800</v>
      </c>
      <c r="M11" s="3">
        <f>Données!$B$30*Données!M43</f>
        <v>2600</v>
      </c>
      <c r="N11" s="3">
        <f>Données!$B$30*Données!N43</f>
        <v>32200</v>
      </c>
    </row>
    <row r="12" spans="1:14" x14ac:dyDescent="0.55000000000000004">
      <c r="A12" s="4" t="s">
        <v>46</v>
      </c>
      <c r="B12" s="3">
        <f>Données!$B$31*Données!B44</f>
        <v>130</v>
      </c>
      <c r="C12" s="3">
        <f>Données!$B$31*Données!C44</f>
        <v>250</v>
      </c>
      <c r="D12" s="3">
        <f>Données!$B$31*Données!D44</f>
        <v>60</v>
      </c>
      <c r="E12" s="3">
        <f>Données!$B$31*Données!E44</f>
        <v>190</v>
      </c>
      <c r="F12" s="3">
        <f>Données!$B$31*Données!F44</f>
        <v>250</v>
      </c>
      <c r="G12" s="3">
        <f>Données!$B$31*Données!G44</f>
        <v>130</v>
      </c>
      <c r="H12" s="3">
        <f>Données!$B$31*Données!H44</f>
        <v>170</v>
      </c>
      <c r="I12" s="3">
        <f>Données!$B$31*Données!I44</f>
        <v>110</v>
      </c>
      <c r="J12" s="3">
        <f>Données!$B$31*Données!J44</f>
        <v>150</v>
      </c>
      <c r="K12" s="3">
        <f>Données!$B$31*Données!K44</f>
        <v>60</v>
      </c>
      <c r="L12" s="3">
        <f>Données!$B$31*Données!L44</f>
        <v>210</v>
      </c>
      <c r="M12" s="3">
        <f>Données!$B$31*Données!M44</f>
        <v>60</v>
      </c>
      <c r="N12" s="3">
        <f>Données!$B$31*Données!N44</f>
        <v>1770</v>
      </c>
    </row>
    <row r="13" spans="1:14" x14ac:dyDescent="0.55000000000000004">
      <c r="A13" s="4" t="s">
        <v>47</v>
      </c>
      <c r="B13" s="3">
        <f>Données!$B$32*Données!B45</f>
        <v>260</v>
      </c>
      <c r="C13" s="3">
        <f>Données!$B$32*Données!C45</f>
        <v>360</v>
      </c>
      <c r="D13" s="3">
        <f>Données!$B$32*Données!D45</f>
        <v>280</v>
      </c>
      <c r="E13" s="3">
        <f>Données!$B$32*Données!E45</f>
        <v>480</v>
      </c>
      <c r="F13" s="3">
        <f>Données!$B$32*Données!F45</f>
        <v>180</v>
      </c>
      <c r="G13" s="3">
        <f>Données!$B$32*Données!G45</f>
        <v>360</v>
      </c>
      <c r="H13" s="3">
        <f>Données!$B$32*Données!H45</f>
        <v>340</v>
      </c>
      <c r="I13" s="3">
        <f>Données!$B$32*Données!I45</f>
        <v>180</v>
      </c>
      <c r="J13" s="3">
        <f>Données!$B$32*Données!J45</f>
        <v>280</v>
      </c>
      <c r="K13" s="3">
        <f>Données!$B$32*Données!K45</f>
        <v>440</v>
      </c>
      <c r="L13" s="3">
        <f>Données!$B$32*Données!L45</f>
        <v>280</v>
      </c>
      <c r="M13" s="3">
        <f>Données!$B$32*Données!M45</f>
        <v>380</v>
      </c>
      <c r="N13" s="3">
        <f>Données!$B$32*Données!N45</f>
        <v>3820</v>
      </c>
    </row>
    <row r="14" spans="1:14" x14ac:dyDescent="0.55000000000000004">
      <c r="A14" s="4" t="s">
        <v>48</v>
      </c>
      <c r="B14" s="3">
        <f>SUM(B2:B4)*Données!$B$34</f>
        <v>350</v>
      </c>
      <c r="C14" s="3">
        <f>SUM(C2:C4)*Données!$B$34</f>
        <v>392.5</v>
      </c>
      <c r="D14" s="3">
        <f>SUM(D2:D4)*Données!$B$34</f>
        <v>765</v>
      </c>
      <c r="E14" s="3">
        <f>SUM(E2:E4)*Données!$B$34</f>
        <v>422.5</v>
      </c>
      <c r="F14" s="3">
        <f>SUM(F2:F4)*Données!$B$34</f>
        <v>620</v>
      </c>
      <c r="G14" s="3">
        <f>SUM(G2:G4)*Données!$B$34</f>
        <v>725</v>
      </c>
      <c r="H14" s="3">
        <f>SUM(H2:H4)*Données!$B$34</f>
        <v>447.5</v>
      </c>
      <c r="I14" s="3">
        <f>SUM(I2:I4)*Données!$B$34</f>
        <v>612.5</v>
      </c>
      <c r="J14" s="3">
        <f>SUM(J2:J4)*Données!$B$34</f>
        <v>297.5</v>
      </c>
      <c r="K14" s="3">
        <f>SUM(K2:K4)*Données!$B$34</f>
        <v>370</v>
      </c>
      <c r="L14" s="3">
        <f>SUM(L2:L4)*Données!$B$34</f>
        <v>695</v>
      </c>
      <c r="M14" s="3">
        <f>SUM(M2:M4)*Données!$B$34</f>
        <v>400</v>
      </c>
      <c r="N14" s="3">
        <f>SUM(N2:N4)*Données!$B$34</f>
        <v>6097.5</v>
      </c>
    </row>
    <row r="15" spans="1:14" x14ac:dyDescent="0.55000000000000004">
      <c r="A15" s="4" t="s">
        <v>49</v>
      </c>
      <c r="B15" s="3">
        <f>SUM(B5:B6)*Données!$B$35</f>
        <v>58.5</v>
      </c>
      <c r="C15" s="3">
        <f>SUM(C5:C6)*Données!$B$35</f>
        <v>91.5</v>
      </c>
      <c r="D15" s="3">
        <f>SUM(D5:D6)*Données!$B$35</f>
        <v>51</v>
      </c>
      <c r="E15" s="3">
        <f>SUM(E5:E6)*Données!$B$35</f>
        <v>100.5</v>
      </c>
      <c r="F15" s="3">
        <f>SUM(F5:F6)*Données!$B$35</f>
        <v>64.5</v>
      </c>
      <c r="G15" s="3">
        <f>SUM(G5:G6)*Données!$B$35</f>
        <v>73.5</v>
      </c>
      <c r="H15" s="3">
        <f>SUM(H5:H6)*Données!$B$35</f>
        <v>76.5</v>
      </c>
      <c r="I15" s="3">
        <f>SUM(I5:I6)*Données!$B$35</f>
        <v>43.5</v>
      </c>
      <c r="J15" s="3">
        <f>SUM(J5:J6)*Données!$B$35</f>
        <v>64.5</v>
      </c>
      <c r="K15" s="3">
        <f>SUM(K5:K6)*Données!$B$35</f>
        <v>75</v>
      </c>
      <c r="L15" s="3">
        <f>SUM(L5:L6)*Données!$B$35</f>
        <v>73.5</v>
      </c>
      <c r="M15" s="3">
        <f>SUM(M5:M6)*Données!$B$35</f>
        <v>66</v>
      </c>
      <c r="N15" s="3">
        <f>SUM(N5:N6)*Données!$B$35</f>
        <v>838.5</v>
      </c>
    </row>
    <row r="16" spans="1:14" x14ac:dyDescent="0.55000000000000004">
      <c r="A16" s="4" t="s">
        <v>50</v>
      </c>
      <c r="B16" s="3">
        <f>SUM(B9:B15)</f>
        <v>5048.5</v>
      </c>
      <c r="C16" s="3">
        <f t="shared" ref="C16:N16" si="1">SUM(C9:C15)</f>
        <v>5744</v>
      </c>
      <c r="D16" s="3">
        <f t="shared" si="1"/>
        <v>10406</v>
      </c>
      <c r="E16" s="3">
        <f t="shared" si="1"/>
        <v>6393</v>
      </c>
      <c r="F16" s="3">
        <f t="shared" si="1"/>
        <v>8414.5</v>
      </c>
      <c r="G16" s="3">
        <f t="shared" si="1"/>
        <v>9888.5</v>
      </c>
      <c r="H16" s="3">
        <f t="shared" si="1"/>
        <v>6434</v>
      </c>
      <c r="I16" s="3">
        <f t="shared" si="1"/>
        <v>8396</v>
      </c>
      <c r="J16" s="3">
        <f t="shared" si="1"/>
        <v>4342</v>
      </c>
      <c r="K16" s="3">
        <f t="shared" si="1"/>
        <v>5395</v>
      </c>
      <c r="L16" s="3">
        <f t="shared" si="1"/>
        <v>9508.5</v>
      </c>
      <c r="M16" s="3">
        <f t="shared" si="1"/>
        <v>5706</v>
      </c>
      <c r="N16" s="3">
        <f t="shared" si="1"/>
        <v>85676</v>
      </c>
    </row>
    <row r="17" spans="1:14" x14ac:dyDescent="0.55000000000000004">
      <c r="A17" s="4" t="s">
        <v>51</v>
      </c>
      <c r="B17" s="3">
        <f>B16+B8</f>
        <v>8346.8333333333321</v>
      </c>
      <c r="C17" s="3">
        <f t="shared" ref="C17:N17" si="2">C16+C8</f>
        <v>9042.3333333333321</v>
      </c>
      <c r="D17" s="3">
        <f t="shared" si="2"/>
        <v>13704.333333333332</v>
      </c>
      <c r="E17" s="3">
        <f t="shared" si="2"/>
        <v>9691.3333333333321</v>
      </c>
      <c r="F17" s="3">
        <f t="shared" si="2"/>
        <v>11712.833333333332</v>
      </c>
      <c r="G17" s="3">
        <f t="shared" si="2"/>
        <v>13186.833333333332</v>
      </c>
      <c r="H17" s="3">
        <f t="shared" si="2"/>
        <v>9732.3333333333321</v>
      </c>
      <c r="I17" s="3">
        <f t="shared" si="2"/>
        <v>11694.333333333332</v>
      </c>
      <c r="J17" s="3">
        <f t="shared" si="2"/>
        <v>7640.333333333333</v>
      </c>
      <c r="K17" s="3">
        <f t="shared" si="2"/>
        <v>8693.3333333333321</v>
      </c>
      <c r="L17" s="3">
        <f t="shared" si="2"/>
        <v>12806.833333333332</v>
      </c>
      <c r="M17" s="3">
        <f t="shared" si="2"/>
        <v>9004.3333333333321</v>
      </c>
      <c r="N17" s="3">
        <f t="shared" si="2"/>
        <v>125256</v>
      </c>
    </row>
    <row r="18" spans="1:14" x14ac:dyDescent="0.55000000000000004">
      <c r="A18" s="4" t="s">
        <v>53</v>
      </c>
      <c r="B18" s="3">
        <f>SUM(B17)</f>
        <v>8346.8333333333321</v>
      </c>
      <c r="C18" s="3">
        <f t="shared" ref="C18:N18" si="3">SUM(C17)</f>
        <v>9042.3333333333321</v>
      </c>
      <c r="D18" s="3">
        <f t="shared" si="3"/>
        <v>13704.333333333332</v>
      </c>
      <c r="E18" s="3">
        <f t="shared" si="3"/>
        <v>9691.3333333333321</v>
      </c>
      <c r="F18" s="3">
        <f t="shared" si="3"/>
        <v>11712.833333333332</v>
      </c>
      <c r="G18" s="3">
        <f t="shared" si="3"/>
        <v>13186.833333333332</v>
      </c>
      <c r="H18" s="3">
        <f t="shared" si="3"/>
        <v>9732.3333333333321</v>
      </c>
      <c r="I18" s="3">
        <f t="shared" si="3"/>
        <v>11694.333333333332</v>
      </c>
      <c r="J18" s="3">
        <f t="shared" si="3"/>
        <v>7640.333333333333</v>
      </c>
      <c r="K18" s="3">
        <f t="shared" si="3"/>
        <v>8693.3333333333321</v>
      </c>
      <c r="L18" s="3">
        <f t="shared" si="3"/>
        <v>12806.833333333332</v>
      </c>
      <c r="M18" s="3">
        <f t="shared" si="3"/>
        <v>9004.3333333333321</v>
      </c>
      <c r="N18" s="3">
        <f t="shared" si="3"/>
        <v>125256</v>
      </c>
    </row>
    <row r="19" spans="1:14" x14ac:dyDescent="0.55000000000000004">
      <c r="A19" s="4" t="s">
        <v>52</v>
      </c>
      <c r="B19" s="3">
        <f>B7-B18</f>
        <v>-176.83333333333212</v>
      </c>
      <c r="C19" s="3">
        <f t="shared" ref="C19:N19" si="4">C7-C18</f>
        <v>637.66666666666788</v>
      </c>
      <c r="D19" s="3">
        <f t="shared" si="4"/>
        <v>2615.6666666666679</v>
      </c>
      <c r="E19" s="3">
        <f t="shared" si="4"/>
        <v>768.66666666666788</v>
      </c>
      <c r="F19" s="3">
        <f t="shared" si="4"/>
        <v>1977.1666666666679</v>
      </c>
      <c r="G19" s="3">
        <f t="shared" si="4"/>
        <v>2783.1666666666679</v>
      </c>
      <c r="H19" s="3">
        <f t="shared" si="4"/>
        <v>747.66666666666788</v>
      </c>
      <c r="I19" s="3">
        <f t="shared" si="4"/>
        <v>1425.6666666666679</v>
      </c>
      <c r="J19" s="3">
        <f t="shared" si="4"/>
        <v>-400.33333333333303</v>
      </c>
      <c r="K19" s="3">
        <f t="shared" si="4"/>
        <v>206.66666666666788</v>
      </c>
      <c r="L19" s="3">
        <f t="shared" si="4"/>
        <v>2563.1666666666679</v>
      </c>
      <c r="M19" s="3">
        <f>M7-M18</f>
        <v>315.66666666666788</v>
      </c>
      <c r="N19" s="3">
        <f>SUM(B19:M19)</f>
        <v>13464.000000000015</v>
      </c>
    </row>
  </sheetData>
  <conditionalFormatting sqref="B19:N19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Bilan 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Gobeul le Squelette</dc:creator>
  <cp:lastModifiedBy>Gobeul le Squelette</cp:lastModifiedBy>
  <dcterms:created xsi:type="dcterms:W3CDTF">2026-09-17T14:14:17Z</dcterms:created>
  <dcterms:modified xsi:type="dcterms:W3CDTF">2026-09-17T15:56:06Z</dcterms:modified>
</cp:coreProperties>
</file>